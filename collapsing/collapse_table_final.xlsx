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y25guu/github_repos/snowtracks/collapsing/"/>
    </mc:Choice>
  </mc:AlternateContent>
  <xr:revisionPtr revIDLastSave="0" documentId="8_{A5351313-0F21-6344-85F8-F36B10B61A85}" xr6:coauthVersionLast="47" xr6:coauthVersionMax="47" xr10:uidLastSave="{00000000-0000-0000-0000-000000000000}"/>
  <bookViews>
    <workbookView xWindow="0" yWindow="980" windowWidth="30240" windowHeight="16940" xr2:uid="{0EEF66D0-7414-634F-A591-5BD35A582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O3" i="1" s="1"/>
  <c r="K3" i="1"/>
  <c r="K4" i="1"/>
  <c r="K5" i="1"/>
  <c r="K6" i="1"/>
  <c r="K7" i="1"/>
  <c r="K8" i="1"/>
  <c r="K9" i="1"/>
  <c r="K10" i="1"/>
  <c r="K11" i="1"/>
  <c r="K12" i="1"/>
  <c r="K13" i="1"/>
  <c r="K2" i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2" i="1"/>
  <c r="O2" i="1" s="1"/>
</calcChain>
</file>

<file path=xl/sharedStrings.xml><?xml version="1.0" encoding="utf-8"?>
<sst xmlns="http://schemas.openxmlformats.org/spreadsheetml/2006/main" count="65" uniqueCount="34">
  <si>
    <t>Neige_2_3</t>
  </si>
  <si>
    <t>Wolf</t>
  </si>
  <si>
    <t>Neige_3_2</t>
  </si>
  <si>
    <t>Neige_4</t>
  </si>
  <si>
    <t>CX113F</t>
  </si>
  <si>
    <t>CX113H</t>
  </si>
  <si>
    <t>CX1138</t>
  </si>
  <si>
    <t>Bear</t>
  </si>
  <si>
    <t>CX115H</t>
  </si>
  <si>
    <t>CX113C</t>
  </si>
  <si>
    <t>CX113E</t>
  </si>
  <si>
    <t>Sample ID</t>
  </si>
  <si>
    <t>Species</t>
  </si>
  <si>
    <t>Total read pairs</t>
  </si>
  <si>
    <t>discarded after adapter removal</t>
  </si>
  <si>
    <t>Unaligned</t>
  </si>
  <si>
    <t>well aligned</t>
  </si>
  <si>
    <t>n reads with adapters</t>
  </si>
  <si>
    <t>n reads with adapters 2</t>
  </si>
  <si>
    <t>n full length collapsed pairs</t>
  </si>
  <si>
    <t>n retained reads</t>
  </si>
  <si>
    <t>avg length</t>
  </si>
  <si>
    <t>pairs discarded after collapsing</t>
  </si>
  <si>
    <t>n reads after filtering</t>
  </si>
  <si>
    <t>final coverage</t>
  </si>
  <si>
    <t>pairs remaining paired-end</t>
  </si>
  <si>
    <t>% pairs remaining paired</t>
  </si>
  <si>
    <t>% collapsed</t>
  </si>
  <si>
    <t>final mito coverage</t>
  </si>
  <si>
    <t>Cow</t>
  </si>
  <si>
    <t>Sample</t>
  </si>
  <si>
    <t>Mitochondrial</t>
  </si>
  <si>
    <t>Average read depth</t>
  </si>
  <si>
    <t>Nuclear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</si>
</sst>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3" fontId="0" fillId="0" borderId="0" xfId="0" applyNumberFormat="1"/>
    <xf numFmtId="164" fontId="0" fillId="0" borderId="0" xfId="0" applyNumberFormat="1"/>
    <xf numFmtId="0" fontId="2" fillId="4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0" fillId="6" borderId="0" xfId="0" applyFill="1"/>
    <xf numFmtId="3" fontId="0" fillId="6" borderId="0" xfId="0" applyNumberFormat="1" applyFill="1"/>
    <xf numFmtId="164" fontId="0" fillId="6" borderId="0" xfId="0" applyNumberFormat="1" applyFill="1"/>
    <xf numFmtId="1" fontId="0" fillId="0" borderId="0" xfId="0" applyNumberFormat="1"/>
    <xf numFmtId="1" fontId="0" fillId="6" borderId="0" xfId="0" applyNumberFormat="1" applyFill="1"/>
    <xf numFmtId="0" fontId="0" fillId="7" borderId="0" xfId="0" applyFill="1"/>
    <xf numFmtId="3" fontId="0" fillId="7" borderId="0" xfId="0" applyNumberFormat="1" applyFill="1"/>
    <xf numFmtId="1" fontId="0" fillId="7" borderId="0" xfId="0" applyNumberFormat="1" applyFill="1"/>
    <xf numFmtId="2" fontId="0" fillId="0" borderId="0" xfId="0" applyNumberFormat="1"/>
    <xf numFmtId="2" fontId="0" fillId="7" borderId="0" xfId="0" applyNumberFormat="1" applyFill="1"/>
    <xf numFmtId="2" fontId="0" fillId="6" borderId="0" xfId="0" applyNumberFormat="1" applyFill="1"/>
    <xf numFmtId="0" fontId="0" fillId="0" borderId="1" xfId="0" applyBorder="1"/>
    <xf numFmtId="0" fontId="1" fillId="8" borderId="1" xfId="0" applyFont="1" applyFill="1" applyBorder="1"/>
    <xf numFmtId="164" fontId="0" fillId="8" borderId="1" xfId="0" applyNumberFormat="1" applyFill="1" applyBorder="1"/>
    <xf numFmtId="0" fontId="0" fillId="8" borderId="1" xfId="0" applyFill="1" applyBorder="1"/>
    <xf numFmtId="0" fontId="0" fillId="9" borderId="1" xfId="0" applyFill="1" applyBorder="1"/>
    <xf numFmtId="0" fontId="1" fillId="9" borderId="1" xfId="0" applyFont="1" applyFill="1" applyBorder="1"/>
    <xf numFmtId="164" fontId="0" fillId="9" borderId="1" xfId="0" applyNumberFormat="1" applyFill="1" applyBorder="1"/>
    <xf numFmtId="0" fontId="0" fillId="10" borderId="1" xfId="0" applyFill="1" applyBorder="1"/>
    <xf numFmtId="0" fontId="1" fillId="10" borderId="1" xfId="0" applyFont="1" applyFill="1" applyBorder="1"/>
    <xf numFmtId="164" fontId="0" fillId="10" borderId="1" xfId="0" applyNumberFormat="1" applyFill="1" applyBorder="1"/>
    <xf numFmtId="0" fontId="1" fillId="0" borderId="0" xfId="0" applyFont="1"/>
    <xf numFmtId="0" fontId="1" fillId="7" borderId="2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1B1A3-2574-544C-854F-9E8F2E2D6B4D}">
  <dimension ref="A1:R32"/>
  <sheetViews>
    <sheetView tabSelected="1" topLeftCell="A10" zoomScale="120" zoomScaleNormal="120" workbookViewId="0">
      <pane xSplit="1" topLeftCell="H1" activePane="topRight" state="frozen"/>
      <selection pane="topRight" activeCell="P31" sqref="P31"/>
    </sheetView>
  </sheetViews>
  <sheetFormatPr baseColWidth="10" defaultRowHeight="16" x14ac:dyDescent="0.2"/>
  <cols>
    <col min="1" max="2" width="16.33203125" customWidth="1"/>
    <col min="3" max="3" width="13.83203125" bestFit="1" customWidth="1"/>
    <col min="4" max="4" width="16.6640625" bestFit="1" customWidth="1"/>
    <col min="5" max="5" width="11.1640625" bestFit="1" customWidth="1"/>
    <col min="6" max="6" width="12" customWidth="1"/>
    <col min="7" max="7" width="11.5" customWidth="1"/>
    <col min="8" max="8" width="14.6640625" customWidth="1"/>
    <col min="9" max="9" width="11.1640625" bestFit="1" customWidth="1"/>
    <col min="10" max="11" width="13.5" customWidth="1"/>
    <col min="12" max="12" width="12.6640625" bestFit="1" customWidth="1"/>
    <col min="13" max="13" width="14.33203125" customWidth="1"/>
    <col min="14" max="14" width="15.6640625" customWidth="1"/>
    <col min="17" max="17" width="11.6640625" bestFit="1" customWidth="1"/>
  </cols>
  <sheetData>
    <row r="1" spans="1:18" s="1" customFormat="1" ht="32" customHeight="1" x14ac:dyDescent="0.2">
      <c r="A1" s="1" t="s">
        <v>11</v>
      </c>
      <c r="B1" s="1" t="s">
        <v>12</v>
      </c>
      <c r="C1" s="2" t="s">
        <v>13</v>
      </c>
      <c r="D1" s="2" t="s">
        <v>14</v>
      </c>
      <c r="E1" s="2" t="s">
        <v>17</v>
      </c>
      <c r="F1" s="3" t="s">
        <v>15</v>
      </c>
      <c r="G1" s="3" t="s">
        <v>16</v>
      </c>
      <c r="H1" s="3" t="s">
        <v>22</v>
      </c>
      <c r="I1" s="3" t="s">
        <v>18</v>
      </c>
      <c r="J1" s="3" t="s">
        <v>19</v>
      </c>
      <c r="K1" s="3" t="s">
        <v>27</v>
      </c>
      <c r="L1" s="3" t="s">
        <v>20</v>
      </c>
      <c r="M1" s="3" t="s">
        <v>21</v>
      </c>
      <c r="N1" s="7" t="s">
        <v>25</v>
      </c>
      <c r="O1" s="7" t="s">
        <v>26</v>
      </c>
      <c r="P1" s="6" t="s">
        <v>23</v>
      </c>
      <c r="Q1" s="6" t="s">
        <v>24</v>
      </c>
      <c r="R1" s="1" t="s">
        <v>28</v>
      </c>
    </row>
    <row r="2" spans="1:18" x14ac:dyDescent="0.2">
      <c r="A2" s="29" t="s">
        <v>0</v>
      </c>
      <c r="B2" t="s">
        <v>1</v>
      </c>
      <c r="C2" s="4">
        <v>646047424</v>
      </c>
      <c r="D2" s="4">
        <v>6974</v>
      </c>
      <c r="E2" s="4">
        <v>24444660</v>
      </c>
      <c r="F2" s="4">
        <v>75024022</v>
      </c>
      <c r="G2" s="4">
        <v>571016428</v>
      </c>
      <c r="H2" s="4">
        <v>2623</v>
      </c>
      <c r="I2" s="4">
        <v>8358</v>
      </c>
      <c r="J2" s="4">
        <v>533491504</v>
      </c>
      <c r="K2" s="11">
        <f>J2/C2*100</f>
        <v>82.577761969375175</v>
      </c>
      <c r="L2" s="4">
        <v>758584150</v>
      </c>
      <c r="M2" s="4">
        <v>206</v>
      </c>
      <c r="N2" s="4">
        <f t="shared" ref="N2" si="0">(L2-J2)/2</f>
        <v>112546323</v>
      </c>
      <c r="O2" s="11">
        <f t="shared" ref="O2" si="1">N2/C2*100</f>
        <v>17.420752535962436</v>
      </c>
      <c r="P2" s="4">
        <v>311838902</v>
      </c>
      <c r="Q2" s="5">
        <v>27.2286</v>
      </c>
      <c r="R2" s="16">
        <v>649.19899999999996</v>
      </c>
    </row>
    <row r="3" spans="1:18" s="13" customFormat="1" x14ac:dyDescent="0.2">
      <c r="A3" s="30"/>
      <c r="C3" s="14">
        <v>646047424</v>
      </c>
      <c r="D3" s="14">
        <v>889</v>
      </c>
      <c r="E3" s="14">
        <v>151690</v>
      </c>
      <c r="F3" s="14">
        <v>510854652</v>
      </c>
      <c r="G3" s="14">
        <v>135191883</v>
      </c>
      <c r="H3" s="14">
        <v>115</v>
      </c>
      <c r="I3" s="14">
        <v>218</v>
      </c>
      <c r="J3" s="14">
        <v>16610897</v>
      </c>
      <c r="K3" s="14">
        <f>J3/C3*100</f>
        <v>2.5711575316179887</v>
      </c>
      <c r="L3" s="14">
        <v>1275481943</v>
      </c>
      <c r="M3" s="13">
        <v>151</v>
      </c>
      <c r="N3" s="14">
        <f t="shared" ref="N3" si="2">(L3-J3)/2</f>
        <v>629435523</v>
      </c>
      <c r="O3" s="15">
        <f t="shared" ref="O3" si="3">N3/C3*100</f>
        <v>97.428687061834026</v>
      </c>
      <c r="R3" s="17"/>
    </row>
    <row r="4" spans="1:18" x14ac:dyDescent="0.2">
      <c r="A4" s="29" t="s">
        <v>2</v>
      </c>
      <c r="B4" t="s">
        <v>1</v>
      </c>
      <c r="C4" s="4">
        <v>342881303</v>
      </c>
      <c r="D4" s="4">
        <v>5529</v>
      </c>
      <c r="E4" s="4">
        <v>4382558</v>
      </c>
      <c r="F4" s="4">
        <v>165437641</v>
      </c>
      <c r="G4" s="4">
        <v>177438133</v>
      </c>
      <c r="H4" s="4">
        <v>56705</v>
      </c>
      <c r="I4" s="4">
        <v>2970</v>
      </c>
      <c r="J4" s="4">
        <v>124229771</v>
      </c>
      <c r="K4" s="11">
        <f t="shared" ref="K4:K13" si="4">J4/C4*100</f>
        <v>36.231130106268871</v>
      </c>
      <c r="L4" s="4">
        <v>561408367</v>
      </c>
      <c r="M4" s="4">
        <v>171</v>
      </c>
      <c r="N4" s="4">
        <f t="shared" ref="N4:N13" si="5">(L4-J4)/2</f>
        <v>218589298</v>
      </c>
      <c r="O4" s="11">
        <f t="shared" ref="O4:O13" si="6">N4/C4*100</f>
        <v>63.750719589396795</v>
      </c>
      <c r="P4" s="4">
        <v>589242</v>
      </c>
      <c r="Q4" s="5">
        <v>4.38015E-2</v>
      </c>
      <c r="R4" s="16">
        <v>0.25437900000000002</v>
      </c>
    </row>
    <row r="5" spans="1:18" x14ac:dyDescent="0.2">
      <c r="A5" s="29" t="s">
        <v>3</v>
      </c>
      <c r="B5" t="s">
        <v>1</v>
      </c>
      <c r="C5" s="4">
        <v>395175965</v>
      </c>
      <c r="D5" s="4">
        <v>5085</v>
      </c>
      <c r="E5" s="4">
        <v>4234934</v>
      </c>
      <c r="F5" s="4">
        <v>187421265</v>
      </c>
      <c r="G5" s="4">
        <v>207749615</v>
      </c>
      <c r="H5" s="4">
        <v>44547</v>
      </c>
      <c r="I5" s="4">
        <v>1802</v>
      </c>
      <c r="J5" s="4">
        <v>146454166</v>
      </c>
      <c r="K5" s="11">
        <f t="shared" si="4"/>
        <v>37.060494304100708</v>
      </c>
      <c r="L5" s="4">
        <v>643798500</v>
      </c>
      <c r="M5" s="4">
        <v>172</v>
      </c>
      <c r="N5" s="4">
        <f t="shared" si="5"/>
        <v>248672167</v>
      </c>
      <c r="O5" s="11">
        <f t="shared" si="6"/>
        <v>62.926946227612802</v>
      </c>
      <c r="P5" s="4">
        <v>178994</v>
      </c>
      <c r="Q5" s="5">
        <v>1.3458100000000001E-2</v>
      </c>
      <c r="R5" s="16">
        <v>0.368566</v>
      </c>
    </row>
    <row r="6" spans="1:18" x14ac:dyDescent="0.2">
      <c r="A6" t="s">
        <v>4</v>
      </c>
      <c r="B6" t="s">
        <v>1</v>
      </c>
      <c r="C6" s="4">
        <v>358836676</v>
      </c>
      <c r="D6" s="4">
        <v>5685</v>
      </c>
      <c r="E6" s="4">
        <v>3781992</v>
      </c>
      <c r="F6" s="4">
        <v>169255364</v>
      </c>
      <c r="G6" s="4">
        <v>189575627</v>
      </c>
      <c r="H6" s="4">
        <v>48954</v>
      </c>
      <c r="I6" s="4">
        <v>2898</v>
      </c>
      <c r="J6" s="4">
        <v>134401305</v>
      </c>
      <c r="K6" s="11">
        <f t="shared" si="4"/>
        <v>37.454729125848885</v>
      </c>
      <c r="L6" s="4">
        <v>583162769</v>
      </c>
      <c r="M6" s="4">
        <v>173</v>
      </c>
      <c r="N6" s="4">
        <f t="shared" si="5"/>
        <v>224380732</v>
      </c>
      <c r="O6" s="11">
        <f t="shared" si="6"/>
        <v>62.530044169732527</v>
      </c>
      <c r="P6" s="4">
        <v>1021188</v>
      </c>
      <c r="Q6" s="5">
        <v>7.6022000000000006E-2</v>
      </c>
      <c r="R6" s="16">
        <v>3.5904199999999999</v>
      </c>
    </row>
    <row r="7" spans="1:18" x14ac:dyDescent="0.2">
      <c r="A7" t="s">
        <v>5</v>
      </c>
      <c r="B7" t="s">
        <v>1</v>
      </c>
      <c r="C7" s="4">
        <v>303885058</v>
      </c>
      <c r="D7" s="4">
        <v>7259</v>
      </c>
      <c r="E7" s="4">
        <v>1936150</v>
      </c>
      <c r="F7" s="4">
        <v>157539996</v>
      </c>
      <c r="G7" s="4">
        <v>146337803</v>
      </c>
      <c r="H7" s="4">
        <v>84569</v>
      </c>
      <c r="I7" s="4">
        <v>1628</v>
      </c>
      <c r="J7" s="4">
        <v>97525246</v>
      </c>
      <c r="K7" s="11">
        <f t="shared" si="4"/>
        <v>32.092807274518911</v>
      </c>
      <c r="L7" s="4">
        <v>510061214</v>
      </c>
      <c r="M7" s="4">
        <v>169</v>
      </c>
      <c r="N7" s="4">
        <f t="shared" si="5"/>
        <v>206267984</v>
      </c>
      <c r="O7" s="11">
        <f t="shared" si="6"/>
        <v>67.876974721146041</v>
      </c>
      <c r="P7" s="4">
        <v>736</v>
      </c>
      <c r="Q7" s="5">
        <v>7.6995699999999999E-5</v>
      </c>
      <c r="R7" s="16">
        <v>0</v>
      </c>
    </row>
    <row r="8" spans="1:18" s="8" customFormat="1" x14ac:dyDescent="0.2">
      <c r="C8" s="9">
        <v>193865002</v>
      </c>
      <c r="D8" s="9">
        <v>69</v>
      </c>
      <c r="E8" s="9">
        <v>719720</v>
      </c>
      <c r="F8" s="9">
        <v>67094248</v>
      </c>
      <c r="G8" s="9">
        <v>126770685</v>
      </c>
      <c r="H8" s="9">
        <v>10</v>
      </c>
      <c r="I8" s="9">
        <v>3524</v>
      </c>
      <c r="J8" s="9">
        <v>100757548</v>
      </c>
      <c r="K8" s="12">
        <f t="shared" si="4"/>
        <v>51.973046687405699</v>
      </c>
      <c r="L8" s="9">
        <v>286972298</v>
      </c>
      <c r="M8" s="9">
        <v>184</v>
      </c>
      <c r="N8" s="9">
        <f t="shared" si="5"/>
        <v>93107375</v>
      </c>
      <c r="O8" s="12">
        <f t="shared" si="6"/>
        <v>48.026912562588272</v>
      </c>
      <c r="P8" s="9"/>
      <c r="Q8" s="10"/>
      <c r="R8" s="18"/>
    </row>
    <row r="9" spans="1:18" x14ac:dyDescent="0.2">
      <c r="A9" t="s">
        <v>6</v>
      </c>
      <c r="B9" t="s">
        <v>7</v>
      </c>
      <c r="C9" s="4">
        <v>628400840</v>
      </c>
      <c r="D9" s="4">
        <v>2436</v>
      </c>
      <c r="E9" s="4">
        <v>15395408</v>
      </c>
      <c r="F9" s="4">
        <v>138824241</v>
      </c>
      <c r="G9" s="4">
        <v>489574163</v>
      </c>
      <c r="H9" s="4">
        <v>3359</v>
      </c>
      <c r="I9" s="4">
        <v>2286</v>
      </c>
      <c r="J9" s="4">
        <v>427874948</v>
      </c>
      <c r="K9" s="11">
        <f t="shared" si="4"/>
        <v>68.089493324038202</v>
      </c>
      <c r="L9" s="4">
        <v>828915142</v>
      </c>
      <c r="M9" s="4">
        <v>197</v>
      </c>
      <c r="N9" s="4">
        <f t="shared" si="5"/>
        <v>200520097</v>
      </c>
      <c r="O9" s="11">
        <f t="shared" si="6"/>
        <v>31.90958449387178</v>
      </c>
      <c r="P9" s="4">
        <v>7985675</v>
      </c>
      <c r="Q9" s="5">
        <v>0.66607499999999997</v>
      </c>
      <c r="R9" s="16">
        <v>11.632099999999999</v>
      </c>
    </row>
    <row r="10" spans="1:18" x14ac:dyDescent="0.2">
      <c r="A10" t="s">
        <v>8</v>
      </c>
      <c r="B10" t="s">
        <v>7</v>
      </c>
      <c r="C10" s="4">
        <v>286022831</v>
      </c>
      <c r="D10" s="4">
        <v>2620</v>
      </c>
      <c r="E10" s="4">
        <v>4981496</v>
      </c>
      <c r="F10" s="4">
        <v>50394808</v>
      </c>
      <c r="G10" s="4">
        <v>235625403</v>
      </c>
      <c r="H10" s="4">
        <v>2608</v>
      </c>
      <c r="I10" s="4">
        <v>1578</v>
      </c>
      <c r="J10" s="4">
        <v>211765612</v>
      </c>
      <c r="K10" s="11">
        <f t="shared" si="4"/>
        <v>74.038009923760256</v>
      </c>
      <c r="L10" s="4">
        <v>360269594</v>
      </c>
      <c r="M10" s="4">
        <v>202</v>
      </c>
      <c r="N10" s="4">
        <f t="shared" si="5"/>
        <v>74251991</v>
      </c>
      <c r="O10" s="11">
        <f t="shared" si="6"/>
        <v>25.960162250124714</v>
      </c>
      <c r="P10" s="4">
        <v>78194</v>
      </c>
      <c r="Q10" s="5">
        <v>6.7442800000000001E-3</v>
      </c>
      <c r="R10" s="16">
        <v>0.32508799999999999</v>
      </c>
    </row>
    <row r="11" spans="1:18" x14ac:dyDescent="0.2">
      <c r="A11" t="s">
        <v>9</v>
      </c>
      <c r="B11" t="s">
        <v>7</v>
      </c>
      <c r="C11" s="4">
        <v>363470519</v>
      </c>
      <c r="D11" s="4">
        <v>5036</v>
      </c>
      <c r="E11" s="4">
        <v>4452274</v>
      </c>
      <c r="F11" s="4">
        <v>155622567</v>
      </c>
      <c r="G11" s="4">
        <v>207842916</v>
      </c>
      <c r="H11" s="4">
        <v>46778</v>
      </c>
      <c r="I11" s="4">
        <v>3900</v>
      </c>
      <c r="J11" s="4">
        <v>153993767</v>
      </c>
      <c r="K11" s="11">
        <f t="shared" si="4"/>
        <v>42.367608636781902</v>
      </c>
      <c r="L11" s="4">
        <v>572843643</v>
      </c>
      <c r="M11" s="4">
        <v>177</v>
      </c>
      <c r="N11" s="4">
        <f t="shared" si="5"/>
        <v>209424938</v>
      </c>
      <c r="O11" s="11">
        <f t="shared" si="6"/>
        <v>57.618136011740752</v>
      </c>
      <c r="P11" s="4">
        <v>1440045</v>
      </c>
      <c r="Q11" s="5">
        <v>0.109885</v>
      </c>
      <c r="R11" s="16">
        <v>1.6424799999999999</v>
      </c>
    </row>
    <row r="12" spans="1:18" x14ac:dyDescent="0.2">
      <c r="A12" t="s">
        <v>10</v>
      </c>
      <c r="B12" t="s">
        <v>7</v>
      </c>
      <c r="C12" s="4">
        <v>326417261</v>
      </c>
      <c r="D12" s="4">
        <v>3858</v>
      </c>
      <c r="E12" s="4">
        <v>5708518</v>
      </c>
      <c r="F12" s="4">
        <v>64476713</v>
      </c>
      <c r="G12" s="4">
        <v>261936690</v>
      </c>
      <c r="H12" s="4">
        <v>3988</v>
      </c>
      <c r="I12" s="4">
        <v>604</v>
      </c>
      <c r="J12" s="4">
        <v>231890552</v>
      </c>
      <c r="K12" s="11">
        <f t="shared" si="4"/>
        <v>71.041142643495192</v>
      </c>
      <c r="L12" s="4">
        <v>420928278</v>
      </c>
      <c r="M12" s="4">
        <v>200</v>
      </c>
      <c r="N12" s="4">
        <f t="shared" si="5"/>
        <v>94518863</v>
      </c>
      <c r="O12" s="11">
        <f t="shared" si="6"/>
        <v>28.9564536845985</v>
      </c>
      <c r="P12" s="4">
        <v>1669798</v>
      </c>
      <c r="Q12" s="5">
        <v>0.14086299999999999</v>
      </c>
      <c r="R12" s="16">
        <v>2.8671600000000002</v>
      </c>
    </row>
    <row r="13" spans="1:18" s="8" customFormat="1" x14ac:dyDescent="0.2">
      <c r="C13" s="9">
        <v>81183656</v>
      </c>
      <c r="D13" s="9">
        <v>1075</v>
      </c>
      <c r="E13" s="9">
        <v>1002100</v>
      </c>
      <c r="F13" s="9">
        <v>54696863</v>
      </c>
      <c r="G13" s="9">
        <v>26485718</v>
      </c>
      <c r="H13" s="9">
        <v>211</v>
      </c>
      <c r="I13" s="9">
        <v>2172</v>
      </c>
      <c r="J13" s="9">
        <v>13274485</v>
      </c>
      <c r="K13" s="12">
        <f t="shared" si="4"/>
        <v>16.351179109253223</v>
      </c>
      <c r="L13" s="9">
        <v>149090255</v>
      </c>
      <c r="M13" s="9">
        <v>160</v>
      </c>
      <c r="N13" s="9">
        <f t="shared" si="5"/>
        <v>67907885</v>
      </c>
      <c r="O13" s="12">
        <f t="shared" si="6"/>
        <v>83.647236828063029</v>
      </c>
      <c r="P13" s="9"/>
      <c r="R13" s="18"/>
    </row>
    <row r="14" spans="1:18" x14ac:dyDescent="0.2">
      <c r="A14" t="s">
        <v>6</v>
      </c>
      <c r="B14" t="s">
        <v>29</v>
      </c>
      <c r="Q14" s="5">
        <v>0.44631100000000001</v>
      </c>
      <c r="R14" s="16">
        <v>167.77</v>
      </c>
    </row>
    <row r="15" spans="1:18" x14ac:dyDescent="0.2">
      <c r="A15" s="29" t="s">
        <v>0</v>
      </c>
      <c r="B15" t="s">
        <v>29</v>
      </c>
      <c r="E15" s="4"/>
      <c r="K15" s="4"/>
      <c r="Q15" s="5">
        <v>3.7468699999999998E-3</v>
      </c>
      <c r="R15" s="16">
        <v>0</v>
      </c>
    </row>
    <row r="16" spans="1:18" x14ac:dyDescent="0.2">
      <c r="K16" s="4"/>
    </row>
    <row r="17" spans="10:14" x14ac:dyDescent="0.2">
      <c r="J17" s="4"/>
      <c r="K17" s="4"/>
    </row>
    <row r="18" spans="10:14" x14ac:dyDescent="0.2">
      <c r="K18" s="4"/>
    </row>
    <row r="19" spans="10:14" x14ac:dyDescent="0.2">
      <c r="K19" s="4"/>
    </row>
    <row r="20" spans="10:14" x14ac:dyDescent="0.2">
      <c r="K20" s="4"/>
    </row>
    <row r="21" spans="10:14" x14ac:dyDescent="0.2">
      <c r="K21" s="33" t="s">
        <v>30</v>
      </c>
      <c r="L21" s="32" t="s">
        <v>12</v>
      </c>
      <c r="M21" s="31" t="s">
        <v>32</v>
      </c>
      <c r="N21" s="31"/>
    </row>
    <row r="22" spans="10:14" x14ac:dyDescent="0.2">
      <c r="K22" s="33"/>
      <c r="L22" s="32"/>
      <c r="M22" s="19" t="s">
        <v>33</v>
      </c>
      <c r="N22" s="19" t="s">
        <v>31</v>
      </c>
    </row>
    <row r="23" spans="10:14" x14ac:dyDescent="0.2">
      <c r="K23" s="20" t="s">
        <v>0</v>
      </c>
      <c r="L23" s="20" t="s">
        <v>1</v>
      </c>
      <c r="M23" s="21">
        <v>27.2286</v>
      </c>
      <c r="N23" s="21">
        <v>649.19899999999996</v>
      </c>
    </row>
    <row r="24" spans="10:14" x14ac:dyDescent="0.2">
      <c r="K24" s="20" t="s">
        <v>2</v>
      </c>
      <c r="L24" s="20" t="s">
        <v>1</v>
      </c>
      <c r="M24" s="21">
        <v>4.38015E-2</v>
      </c>
      <c r="N24" s="21">
        <v>0.25437900000000002</v>
      </c>
    </row>
    <row r="25" spans="10:14" x14ac:dyDescent="0.2">
      <c r="K25" s="20" t="s">
        <v>3</v>
      </c>
      <c r="L25" s="20" t="s">
        <v>1</v>
      </c>
      <c r="M25" s="21">
        <v>1.3458100000000001E-2</v>
      </c>
      <c r="N25" s="21">
        <v>0.368566</v>
      </c>
    </row>
    <row r="26" spans="10:14" x14ac:dyDescent="0.2">
      <c r="K26" s="22" t="s">
        <v>4</v>
      </c>
      <c r="L26" s="20" t="s">
        <v>1</v>
      </c>
      <c r="M26" s="21">
        <v>7.6022000000000006E-2</v>
      </c>
      <c r="N26" s="21">
        <v>3.5904199999999999</v>
      </c>
    </row>
    <row r="27" spans="10:14" x14ac:dyDescent="0.2">
      <c r="K27" s="22" t="s">
        <v>5</v>
      </c>
      <c r="L27" s="20" t="s">
        <v>1</v>
      </c>
      <c r="M27" s="21">
        <v>7.6995699999999999E-5</v>
      </c>
      <c r="N27" s="21">
        <v>0</v>
      </c>
    </row>
    <row r="28" spans="10:14" x14ac:dyDescent="0.2">
      <c r="K28" s="23" t="s">
        <v>6</v>
      </c>
      <c r="L28" s="24" t="s">
        <v>7</v>
      </c>
      <c r="M28" s="25">
        <v>0.66607499999999997</v>
      </c>
      <c r="N28" s="25">
        <v>11.632099999999999</v>
      </c>
    </row>
    <row r="29" spans="10:14" x14ac:dyDescent="0.2">
      <c r="K29" s="23" t="s">
        <v>8</v>
      </c>
      <c r="L29" s="24" t="s">
        <v>7</v>
      </c>
      <c r="M29" s="25">
        <v>6.7442800000000001E-3</v>
      </c>
      <c r="N29" s="25">
        <v>0.32508799999999999</v>
      </c>
    </row>
    <row r="30" spans="10:14" x14ac:dyDescent="0.2">
      <c r="K30" s="23" t="s">
        <v>9</v>
      </c>
      <c r="L30" s="24" t="s">
        <v>7</v>
      </c>
      <c r="M30" s="25">
        <v>0.109885</v>
      </c>
      <c r="N30" s="25">
        <v>1.6424799999999999</v>
      </c>
    </row>
    <row r="31" spans="10:14" x14ac:dyDescent="0.2">
      <c r="K31" s="23" t="s">
        <v>10</v>
      </c>
      <c r="L31" s="24" t="s">
        <v>7</v>
      </c>
      <c r="M31" s="25">
        <v>0.14086299999999999</v>
      </c>
      <c r="N31" s="25">
        <v>2.8671600000000002</v>
      </c>
    </row>
    <row r="32" spans="10:14" x14ac:dyDescent="0.2">
      <c r="K32" s="26" t="s">
        <v>6</v>
      </c>
      <c r="L32" s="27" t="s">
        <v>29</v>
      </c>
      <c r="M32" s="28">
        <v>0.44631100000000001</v>
      </c>
      <c r="N32" s="28">
        <v>167.77</v>
      </c>
    </row>
  </sheetData>
  <mergeCells count="3">
    <mergeCell ref="M21:N21"/>
    <mergeCell ref="L21:L22"/>
    <mergeCell ref="K21:K2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Gordon (BIO - Postgraduate Researcher)</dc:creator>
  <cp:lastModifiedBy>Harry Gordon (BIO - Postgraduate Researcher)</cp:lastModifiedBy>
  <dcterms:created xsi:type="dcterms:W3CDTF">2025-05-16T14:29:25Z</dcterms:created>
  <dcterms:modified xsi:type="dcterms:W3CDTF">2026-02-05T14:41:41Z</dcterms:modified>
</cp:coreProperties>
</file>